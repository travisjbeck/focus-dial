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vis/Developer/PhoenixTimer/"/>
    </mc:Choice>
  </mc:AlternateContent>
  <xr:revisionPtr revIDLastSave="0" documentId="13_ncr:1_{987FF107-D0D1-D843-AA79-E6ED7CA67073}" xr6:coauthVersionLast="47" xr6:coauthVersionMax="47" xr10:uidLastSave="{00000000-0000-0000-0000-000000000000}"/>
  <bookViews>
    <workbookView xWindow="200" yWindow="200" windowWidth="28500" windowHeight="31980" activeTab="1" xr2:uid="{8C21D943-4422-9748-BF62-571BF421B256}"/>
  </bookViews>
  <sheets>
    <sheet name="COGS" sheetId="1" r:id="rId1"/>
    <sheet name="DEV" sheetId="2" r:id="rId2"/>
    <sheet name="Sheet4" sheetId="4" r:id="rId3"/>
    <sheet name="SWO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" l="1"/>
  <c r="E37" i="2"/>
  <c r="E32" i="2"/>
  <c r="E36" i="2"/>
  <c r="D21" i="1"/>
  <c r="D32" i="2"/>
  <c r="B11" i="4"/>
  <c r="B17" i="4" s="1"/>
  <c r="D26" i="1"/>
  <c r="E26" i="1"/>
  <c r="D19" i="1"/>
  <c r="E21" i="1" s="1"/>
  <c r="D37" i="2" l="1"/>
  <c r="B18" i="4"/>
</calcChain>
</file>

<file path=xl/sharedStrings.xml><?xml version="1.0" encoding="utf-8"?>
<sst xmlns="http://schemas.openxmlformats.org/spreadsheetml/2006/main" count="104" uniqueCount="86">
  <si>
    <t>https://www.adafruit.com/product/5395</t>
  </si>
  <si>
    <t>Led Module</t>
  </si>
  <si>
    <t>https://www.adafruit.com/product/1463</t>
  </si>
  <si>
    <t>OLED Module</t>
  </si>
  <si>
    <t>https://www.amazon.com/dp/B0833PF7ML?geniuslink=true</t>
  </si>
  <si>
    <t>Rotary Encoder</t>
  </si>
  <si>
    <t>https://www.digikey.ca/en/products/detail/bourns-inc/PER561-P115-N0015/13999552</t>
  </si>
  <si>
    <t>https://www.amazon.com/dp/B01E38OS7K?keywords=12mm%20tactile%20push%20button&amp;geniuslink=true</t>
  </si>
  <si>
    <t>GlassCover</t>
  </si>
  <si>
    <t>https://www.amazon.com/dp/B0BBD19C59?geniuslink=true&amp;th=1</t>
  </si>
  <si>
    <t>Bearings</t>
  </si>
  <si>
    <t>https://www.amazon.com/dp/B08FHTN51Z?geniuslink=true&amp;th=1</t>
  </si>
  <si>
    <t>Tactile Push Button</t>
  </si>
  <si>
    <t>Housing</t>
  </si>
  <si>
    <t>Led Difusser</t>
  </si>
  <si>
    <t>Packaging</t>
  </si>
  <si>
    <t>USB-C Cable</t>
  </si>
  <si>
    <t>Bulk Price Est.</t>
  </si>
  <si>
    <t>Estimated Total</t>
  </si>
  <si>
    <t>Retail Price</t>
  </si>
  <si>
    <t>Margins</t>
  </si>
  <si>
    <t>PREMIUM MODEL</t>
  </si>
  <si>
    <t>wood / stainless dial</t>
  </si>
  <si>
    <t>(mould costs)</t>
  </si>
  <si>
    <t>Shipping / Assembly</t>
  </si>
  <si>
    <t>subscriptions?</t>
  </si>
  <si>
    <t>Force-Sensitive Resistor</t>
  </si>
  <si>
    <t>https://www.adafruit.com/product/166</t>
  </si>
  <si>
    <t>Haptic Motor</t>
  </si>
  <si>
    <t>https://www.adafruit.com/shopping_cart</t>
  </si>
  <si>
    <t>Motor Controller</t>
  </si>
  <si>
    <t>Cost</t>
  </si>
  <si>
    <t>Strengths</t>
  </si>
  <si>
    <t>manufacturing contacts</t>
  </si>
  <si>
    <t>embedded programming / LED contacts</t>
  </si>
  <si>
    <t>marketing chops</t>
  </si>
  <si>
    <t>startup experience</t>
  </si>
  <si>
    <t>mould making contacts</t>
  </si>
  <si>
    <t>large initial mailing list</t>
  </si>
  <si>
    <t>access to full project files and info</t>
  </si>
  <si>
    <t>can make the full tech stack myself</t>
  </si>
  <si>
    <t>deep e-commerce experience</t>
  </si>
  <si>
    <t>understands inventory management</t>
  </si>
  <si>
    <t>understands cash flow management</t>
  </si>
  <si>
    <t>Weaknesses</t>
  </si>
  <si>
    <t>no CAD experience</t>
  </si>
  <si>
    <t>can solder</t>
  </si>
  <si>
    <t>no embedded programming experience (its just C and some API's though)</t>
  </si>
  <si>
    <t>never produced anything this complicated</t>
  </si>
  <si>
    <t>Opportunites</t>
  </si>
  <si>
    <t>already a proven market</t>
  </si>
  <si>
    <t>potentially viral product</t>
  </si>
  <si>
    <t>opens the door to start boutique design shop like Peak Design</t>
  </si>
  <si>
    <t>affiliate marketing winner especially with developer, gadget, fitness, and productivity influencers</t>
  </si>
  <si>
    <t>expert in customer experience for both the software and hardware</t>
  </si>
  <si>
    <t>Threats</t>
  </si>
  <si>
    <t>patents</t>
  </si>
  <si>
    <t>someone else working on it</t>
  </si>
  <si>
    <t>being copied in china and sold on alibaba</t>
  </si>
  <si>
    <t>manufacturing is hard and can kill you after you ship with defects</t>
  </si>
  <si>
    <t>manufacturing is hard and can kill you before you ever ship with delays</t>
  </si>
  <si>
    <t>an evolving tariff environment</t>
  </si>
  <si>
    <t>sales numbers</t>
  </si>
  <si>
    <t>AOV</t>
  </si>
  <si>
    <t>CPA</t>
  </si>
  <si>
    <t>COGS</t>
  </si>
  <si>
    <t>Net Profit</t>
  </si>
  <si>
    <t xml:space="preserve">Sales Per Day. </t>
  </si>
  <si>
    <t>Monthly net profit</t>
  </si>
  <si>
    <t>Yearly net profit</t>
  </si>
  <si>
    <t>collaborate with Salim Benbouziyane on his DIY focus ring</t>
  </si>
  <si>
    <t>https://www.youtube.com/watch?v=nZa-Vqu-_fU</t>
  </si>
  <si>
    <t>UPGRADES</t>
  </si>
  <si>
    <t>Micro Controller</t>
  </si>
  <si>
    <t>Battery</t>
  </si>
  <si>
    <t>Battery Controller</t>
  </si>
  <si>
    <t>Round AMOLED Screen</t>
  </si>
  <si>
    <t>Haptic / Battery Upgrade</t>
  </si>
  <si>
    <t>LED Module</t>
  </si>
  <si>
    <t>LED Difusser</t>
  </si>
  <si>
    <t>Micro Controller With Wifi / Bluetooth</t>
  </si>
  <si>
    <t>Base station</t>
  </si>
  <si>
    <t>Profit Margin</t>
  </si>
  <si>
    <t>Base Model</t>
  </si>
  <si>
    <t>Premium</t>
  </si>
  <si>
    <t>Wood / Metal accents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</si>
</sst>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2" fillId="0" borderId="0" xfId="2"/>
    <xf numFmtId="8" fontId="0" fillId="0" borderId="0" xfId="0" applyNumberFormat="1"/>
    <xf numFmtId="0" fontId="3" fillId="0" borderId="0" xfId="0" applyFont="1"/>
    <xf numFmtId="164" fontId="3" fillId="0" borderId="0" xfId="0" applyNumberFormat="1" applyFont="1"/>
    <xf numFmtId="9" fontId="3" fillId="0" borderId="0" xfId="1" applyFont="1"/>
    <xf numFmtId="8" fontId="3" fillId="0" borderId="0" xfId="0" applyNumberFormat="1" applyFont="1"/>
    <xf numFmtId="0" fontId="4" fillId="0" borderId="0" xfId="0" applyFont="1"/>
    <xf numFmtId="0" fontId="0" fillId="0" borderId="0" xfId="0" applyBorder="1"/>
    <xf numFmtId="0" fontId="0" fillId="0" borderId="1" xfId="0" applyBorder="1"/>
    <xf numFmtId="164" fontId="0" fillId="0" borderId="1" xfId="0" applyNumberFormat="1" applyBorder="1"/>
    <xf numFmtId="0" fontId="2" fillId="0" borderId="1" xfId="2" applyBorder="1"/>
    <xf numFmtId="164" fontId="4" fillId="0" borderId="1" xfId="0" applyNumberFormat="1" applyFont="1" applyBorder="1"/>
    <xf numFmtId="164" fontId="4" fillId="0" borderId="0" xfId="0" applyNumberFormat="1" applyFont="1" applyBorder="1"/>
    <xf numFmtId="9" fontId="0" fillId="0" borderId="1" xfId="1" applyFont="1" applyBorder="1"/>
    <xf numFmtId="0" fontId="0" fillId="2" borderId="1" xfId="0" applyFill="1" applyBorder="1"/>
    <xf numFmtId="0" fontId="4" fillId="2" borderId="1" xfId="0" applyFont="1" applyFill="1" applyBorder="1"/>
    <xf numFmtId="44" fontId="0" fillId="0" borderId="1" xfId="3" applyFont="1" applyBorder="1"/>
    <xf numFmtId="0" fontId="0" fillId="0" borderId="2" xfId="0" applyBorder="1"/>
    <xf numFmtId="164" fontId="0" fillId="0" borderId="2" xfId="0" applyNumberFormat="1" applyBorder="1"/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a/en/products/detail/bourns-inc/PER561-P115-N0015/1399955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a/en/products/detail/bourns-inc/PER561-P115-N0015/139995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A424-BC9C-254E-B905-BCE9BE510247}">
  <dimension ref="A2:F34"/>
  <sheetViews>
    <sheetView zoomScale="186" zoomScaleNormal="186" workbookViewId="0">
      <selection activeCell="D21" sqref="D21"/>
    </sheetView>
  </sheetViews>
  <sheetFormatPr baseColWidth="10" defaultRowHeight="16" x14ac:dyDescent="0.2"/>
  <cols>
    <col min="1" max="1" width="21.6640625" customWidth="1"/>
    <col min="4" max="4" width="12.1640625" customWidth="1"/>
    <col min="5" max="5" width="13.33203125" customWidth="1"/>
    <col min="6" max="6" width="12.6640625" customWidth="1"/>
  </cols>
  <sheetData>
    <row r="2" spans="1:6" x14ac:dyDescent="0.2">
      <c r="D2" t="s">
        <v>17</v>
      </c>
    </row>
    <row r="3" spans="1:6" x14ac:dyDescent="0.2">
      <c r="A3" t="s">
        <v>73</v>
      </c>
      <c r="B3" t="s">
        <v>0</v>
      </c>
      <c r="C3" s="1">
        <v>14.95</v>
      </c>
      <c r="D3" s="1">
        <v>9</v>
      </c>
    </row>
    <row r="4" spans="1:6" x14ac:dyDescent="0.2">
      <c r="A4" t="s">
        <v>1</v>
      </c>
      <c r="B4" t="s">
        <v>2</v>
      </c>
      <c r="C4" s="1">
        <v>9.9499999999999993</v>
      </c>
      <c r="D4" s="1">
        <v>8</v>
      </c>
    </row>
    <row r="5" spans="1:6" x14ac:dyDescent="0.2">
      <c r="A5" t="s">
        <v>3</v>
      </c>
      <c r="B5" t="s">
        <v>4</v>
      </c>
      <c r="C5" s="1">
        <v>2.5979999999999999</v>
      </c>
      <c r="D5" s="1">
        <v>1</v>
      </c>
    </row>
    <row r="6" spans="1:6" x14ac:dyDescent="0.2">
      <c r="A6" t="s">
        <v>5</v>
      </c>
      <c r="B6" s="2" t="s">
        <v>6</v>
      </c>
      <c r="C6" s="1">
        <v>9.9499999999999993</v>
      </c>
      <c r="D6" s="1">
        <v>2</v>
      </c>
    </row>
    <row r="7" spans="1:6" x14ac:dyDescent="0.2">
      <c r="A7" t="s">
        <v>12</v>
      </c>
      <c r="B7" t="s">
        <v>7</v>
      </c>
      <c r="C7" s="1">
        <v>0.32</v>
      </c>
      <c r="D7" s="1">
        <v>0.25</v>
      </c>
    </row>
    <row r="8" spans="1:6" x14ac:dyDescent="0.2">
      <c r="A8" t="s">
        <v>8</v>
      </c>
      <c r="B8" t="s">
        <v>9</v>
      </c>
      <c r="C8" s="1">
        <v>1</v>
      </c>
      <c r="D8" s="1">
        <v>0.3</v>
      </c>
    </row>
    <row r="9" spans="1:6" x14ac:dyDescent="0.2">
      <c r="A9" t="s">
        <v>10</v>
      </c>
      <c r="B9" t="s">
        <v>11</v>
      </c>
      <c r="C9" s="1">
        <v>3</v>
      </c>
      <c r="D9" s="1">
        <v>0.3</v>
      </c>
    </row>
    <row r="10" spans="1:6" x14ac:dyDescent="0.2">
      <c r="A10" t="s">
        <v>13</v>
      </c>
      <c r="C10" s="1"/>
      <c r="D10" s="1">
        <v>0.1</v>
      </c>
      <c r="E10" s="1">
        <v>20000</v>
      </c>
      <c r="F10" t="s">
        <v>23</v>
      </c>
    </row>
    <row r="11" spans="1:6" x14ac:dyDescent="0.2">
      <c r="A11" t="s">
        <v>14</v>
      </c>
      <c r="C11" s="1"/>
      <c r="D11" s="1">
        <v>0.2</v>
      </c>
    </row>
    <row r="12" spans="1:6" x14ac:dyDescent="0.2">
      <c r="A12" t="s">
        <v>15</v>
      </c>
      <c r="C12" s="1"/>
      <c r="D12" s="1">
        <v>0.3</v>
      </c>
    </row>
    <row r="13" spans="1:6" x14ac:dyDescent="0.2">
      <c r="A13" t="s">
        <v>16</v>
      </c>
      <c r="C13" s="1"/>
      <c r="D13" s="1">
        <v>1.25</v>
      </c>
    </row>
    <row r="14" spans="1:6" x14ac:dyDescent="0.2">
      <c r="A14" t="s">
        <v>24</v>
      </c>
      <c r="C14" s="1"/>
      <c r="D14" s="1">
        <v>3.5</v>
      </c>
    </row>
    <row r="15" spans="1:6" x14ac:dyDescent="0.2">
      <c r="C15" s="1"/>
    </row>
    <row r="16" spans="1:6" x14ac:dyDescent="0.2">
      <c r="C16" s="1"/>
    </row>
    <row r="17" spans="1:5" x14ac:dyDescent="0.2">
      <c r="C17" s="1"/>
    </row>
    <row r="18" spans="1:5" x14ac:dyDescent="0.2">
      <c r="C18" s="1"/>
    </row>
    <row r="19" spans="1:5" x14ac:dyDescent="0.2">
      <c r="A19" t="s">
        <v>18</v>
      </c>
      <c r="C19" s="1"/>
      <c r="D19" s="1">
        <f>SUM(D3:D18)</f>
        <v>26.200000000000003</v>
      </c>
    </row>
    <row r="20" spans="1:5" x14ac:dyDescent="0.2">
      <c r="A20" t="s">
        <v>19</v>
      </c>
      <c r="C20" s="1"/>
      <c r="D20" s="3">
        <v>129.99</v>
      </c>
    </row>
    <row r="21" spans="1:5" s="4" customFormat="1" x14ac:dyDescent="0.2">
      <c r="A21" s="4" t="s">
        <v>20</v>
      </c>
      <c r="C21" s="5"/>
      <c r="D21" s="6">
        <f>((D20-D19) / D20)</f>
        <v>0.79844603431033156</v>
      </c>
      <c r="E21" s="7">
        <f>D20-D19</f>
        <v>103.79</v>
      </c>
    </row>
    <row r="22" spans="1:5" x14ac:dyDescent="0.2">
      <c r="C22" s="1"/>
    </row>
    <row r="23" spans="1:5" x14ac:dyDescent="0.2">
      <c r="C23" s="1"/>
    </row>
    <row r="24" spans="1:5" x14ac:dyDescent="0.2">
      <c r="A24" t="s">
        <v>21</v>
      </c>
      <c r="C24" s="1"/>
      <c r="D24" s="1">
        <v>30</v>
      </c>
    </row>
    <row r="25" spans="1:5" x14ac:dyDescent="0.2">
      <c r="A25" t="s">
        <v>22</v>
      </c>
      <c r="C25" s="1"/>
      <c r="D25" s="3">
        <v>199</v>
      </c>
    </row>
    <row r="26" spans="1:5" s="4" customFormat="1" ht="15" customHeight="1" x14ac:dyDescent="0.2">
      <c r="A26" s="4" t="s">
        <v>20</v>
      </c>
      <c r="C26" s="5"/>
      <c r="D26" s="6">
        <f>((D25-D24) / D25)</f>
        <v>0.84924623115577891</v>
      </c>
      <c r="E26" s="7">
        <f>D25-D24</f>
        <v>169</v>
      </c>
    </row>
    <row r="27" spans="1:5" x14ac:dyDescent="0.2">
      <c r="C27" s="1"/>
    </row>
    <row r="28" spans="1:5" x14ac:dyDescent="0.2">
      <c r="C28" s="1"/>
    </row>
    <row r="29" spans="1:5" x14ac:dyDescent="0.2">
      <c r="C29" s="1"/>
    </row>
    <row r="34" spans="1:1" x14ac:dyDescent="0.2">
      <c r="A34" t="s">
        <v>25</v>
      </c>
    </row>
  </sheetData>
  <hyperlinks>
    <hyperlink ref="B6" r:id="rId1" xr:uid="{A07D4C55-02D4-6045-B03E-0A7E879C90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3414-B5BE-5D46-8485-36D63EADA75A}">
  <dimension ref="A6:E40"/>
  <sheetViews>
    <sheetView tabSelected="1" zoomScale="177" zoomScaleNormal="177" workbookViewId="0">
      <selection activeCell="A39" sqref="A39"/>
    </sheetView>
  </sheetViews>
  <sheetFormatPr baseColWidth="10" defaultRowHeight="16" x14ac:dyDescent="0.2"/>
  <cols>
    <col min="1" max="1" width="33.1640625" customWidth="1"/>
    <col min="2" max="2" width="26.6640625" customWidth="1"/>
    <col min="4" max="4" width="14.1640625" customWidth="1"/>
  </cols>
  <sheetData>
    <row r="6" spans="1:4" x14ac:dyDescent="0.2">
      <c r="A6" s="4" t="s">
        <v>72</v>
      </c>
    </row>
    <row r="8" spans="1:4" x14ac:dyDescent="0.2">
      <c r="A8" s="8" t="s">
        <v>77</v>
      </c>
    </row>
    <row r="9" spans="1:4" x14ac:dyDescent="0.2">
      <c r="A9" s="16"/>
      <c r="B9" s="16"/>
      <c r="C9" s="16" t="s">
        <v>31</v>
      </c>
      <c r="D9" s="16" t="s">
        <v>17</v>
      </c>
    </row>
    <row r="10" spans="1:4" x14ac:dyDescent="0.2">
      <c r="A10" s="10" t="s">
        <v>26</v>
      </c>
      <c r="B10" s="10" t="s">
        <v>27</v>
      </c>
      <c r="C10" s="11">
        <v>3.95</v>
      </c>
      <c r="D10" s="11">
        <v>1.5</v>
      </c>
    </row>
    <row r="11" spans="1:4" x14ac:dyDescent="0.2">
      <c r="A11" s="10" t="s">
        <v>28</v>
      </c>
      <c r="B11" s="10" t="s">
        <v>29</v>
      </c>
      <c r="C11" s="11">
        <v>1.95</v>
      </c>
      <c r="D11" s="11">
        <v>1</v>
      </c>
    </row>
    <row r="12" spans="1:4" x14ac:dyDescent="0.2">
      <c r="A12" s="10" t="s">
        <v>30</v>
      </c>
      <c r="B12" s="10" t="s">
        <v>29</v>
      </c>
      <c r="C12" s="11">
        <v>7.95</v>
      </c>
      <c r="D12" s="11">
        <v>5</v>
      </c>
    </row>
    <row r="13" spans="1:4" x14ac:dyDescent="0.2">
      <c r="A13" s="10" t="s">
        <v>74</v>
      </c>
      <c r="B13" s="10"/>
      <c r="C13" s="11">
        <v>5</v>
      </c>
      <c r="D13" s="11">
        <v>3</v>
      </c>
    </row>
    <row r="14" spans="1:4" x14ac:dyDescent="0.2">
      <c r="A14" s="10" t="s">
        <v>75</v>
      </c>
      <c r="B14" s="10"/>
      <c r="C14" s="11">
        <v>5</v>
      </c>
      <c r="D14" s="11">
        <v>4</v>
      </c>
    </row>
    <row r="15" spans="1:4" x14ac:dyDescent="0.2">
      <c r="A15" s="10" t="s">
        <v>80</v>
      </c>
      <c r="B15" s="10" t="s">
        <v>0</v>
      </c>
      <c r="C15" s="11">
        <v>14.95</v>
      </c>
      <c r="D15" s="11">
        <v>8</v>
      </c>
    </row>
    <row r="16" spans="1:4" x14ac:dyDescent="0.2">
      <c r="A16" s="10" t="s">
        <v>78</v>
      </c>
      <c r="B16" s="10" t="s">
        <v>2</v>
      </c>
      <c r="C16" s="11">
        <v>9.9499999999999993</v>
      </c>
      <c r="D16" s="11">
        <v>5</v>
      </c>
    </row>
    <row r="17" spans="1:5" x14ac:dyDescent="0.2">
      <c r="A17" s="10" t="s">
        <v>76</v>
      </c>
      <c r="B17" s="10" t="s">
        <v>4</v>
      </c>
      <c r="C17" s="11">
        <v>12</v>
      </c>
      <c r="D17" s="11">
        <v>9</v>
      </c>
    </row>
    <row r="18" spans="1:5" x14ac:dyDescent="0.2">
      <c r="A18" s="10" t="s">
        <v>5</v>
      </c>
      <c r="B18" s="12" t="s">
        <v>6</v>
      </c>
      <c r="C18" s="11">
        <v>9.9499999999999993</v>
      </c>
      <c r="D18" s="11">
        <v>4</v>
      </c>
    </row>
    <row r="19" spans="1:5" x14ac:dyDescent="0.2">
      <c r="A19" s="10" t="s">
        <v>8</v>
      </c>
      <c r="B19" s="10" t="s">
        <v>9</v>
      </c>
      <c r="C19" s="11">
        <v>1</v>
      </c>
      <c r="D19" s="11">
        <v>0.3</v>
      </c>
    </row>
    <row r="20" spans="1:5" x14ac:dyDescent="0.2">
      <c r="A20" s="10" t="s">
        <v>10</v>
      </c>
      <c r="B20" s="10" t="s">
        <v>11</v>
      </c>
      <c r="C20" s="11">
        <v>3</v>
      </c>
      <c r="D20" s="11">
        <v>0.3</v>
      </c>
    </row>
    <row r="21" spans="1:5" x14ac:dyDescent="0.2">
      <c r="A21" s="10" t="s">
        <v>13</v>
      </c>
      <c r="B21" s="10"/>
      <c r="C21" s="11"/>
      <c r="D21" s="11">
        <v>0.5</v>
      </c>
    </row>
    <row r="22" spans="1:5" x14ac:dyDescent="0.2">
      <c r="A22" s="10" t="s">
        <v>79</v>
      </c>
      <c r="B22" s="10"/>
      <c r="C22" s="11"/>
      <c r="D22" s="11">
        <v>0.05</v>
      </c>
    </row>
    <row r="23" spans="1:5" x14ac:dyDescent="0.2">
      <c r="A23" s="10" t="s">
        <v>15</v>
      </c>
      <c r="B23" s="10"/>
      <c r="C23" s="11"/>
      <c r="D23" s="11">
        <v>0.3</v>
      </c>
    </row>
    <row r="24" spans="1:5" x14ac:dyDescent="0.2">
      <c r="A24" s="10" t="s">
        <v>16</v>
      </c>
      <c r="B24" s="10"/>
      <c r="C24" s="11"/>
      <c r="D24" s="11">
        <v>3</v>
      </c>
    </row>
    <row r="25" spans="1:5" x14ac:dyDescent="0.2">
      <c r="A25" s="10" t="s">
        <v>24</v>
      </c>
      <c r="B25" s="10"/>
      <c r="C25" s="11"/>
      <c r="D25" s="11">
        <v>3.5</v>
      </c>
    </row>
    <row r="26" spans="1:5" x14ac:dyDescent="0.2">
      <c r="A26" s="19" t="s">
        <v>81</v>
      </c>
      <c r="B26" s="19"/>
      <c r="C26" s="19"/>
      <c r="D26" s="20">
        <v>5</v>
      </c>
    </row>
    <row r="27" spans="1:5" x14ac:dyDescent="0.2">
      <c r="A27" s="10" t="s">
        <v>85</v>
      </c>
      <c r="B27" s="10"/>
      <c r="C27" s="10"/>
      <c r="D27" s="11"/>
      <c r="E27" s="11">
        <v>15</v>
      </c>
    </row>
    <row r="28" spans="1:5" x14ac:dyDescent="0.2">
      <c r="A28" s="10"/>
      <c r="B28" s="10"/>
      <c r="C28" s="10"/>
      <c r="D28" s="11"/>
      <c r="E28" s="10"/>
    </row>
    <row r="29" spans="1:5" x14ac:dyDescent="0.2">
      <c r="A29" s="10"/>
      <c r="B29" s="10"/>
      <c r="C29" s="10"/>
      <c r="D29" s="11"/>
      <c r="E29" s="10"/>
    </row>
    <row r="30" spans="1:5" x14ac:dyDescent="0.2">
      <c r="A30" s="10"/>
      <c r="B30" s="10"/>
      <c r="C30" s="10"/>
      <c r="D30" s="11"/>
      <c r="E30" s="10"/>
    </row>
    <row r="31" spans="1:5" x14ac:dyDescent="0.2">
      <c r="A31" s="10"/>
      <c r="B31" s="10"/>
      <c r="C31" s="10"/>
      <c r="D31" s="11"/>
      <c r="E31" s="10"/>
    </row>
    <row r="32" spans="1:5" x14ac:dyDescent="0.2">
      <c r="A32" s="10"/>
      <c r="B32" s="10"/>
      <c r="C32" s="10"/>
      <c r="D32" s="13">
        <f>SUM(D10:D31)</f>
        <v>53.449999999999989</v>
      </c>
      <c r="E32" s="13">
        <f>D32+E27</f>
        <v>68.449999999999989</v>
      </c>
    </row>
    <row r="33" spans="1:5" x14ac:dyDescent="0.2">
      <c r="A33" s="9"/>
      <c r="B33" s="9"/>
      <c r="C33" s="9"/>
      <c r="D33" s="14"/>
    </row>
    <row r="34" spans="1:5" x14ac:dyDescent="0.2">
      <c r="C34" s="16"/>
      <c r="D34" s="17" t="s">
        <v>83</v>
      </c>
      <c r="E34" s="17" t="s">
        <v>84</v>
      </c>
    </row>
    <row r="35" spans="1:5" x14ac:dyDescent="0.2">
      <c r="C35" s="10" t="s">
        <v>19</v>
      </c>
      <c r="D35" s="11">
        <v>155</v>
      </c>
      <c r="E35" s="18">
        <v>215</v>
      </c>
    </row>
    <row r="36" spans="1:5" x14ac:dyDescent="0.2">
      <c r="C36" s="10" t="s">
        <v>82</v>
      </c>
      <c r="D36" s="15">
        <f>((D35-D32) / D35)</f>
        <v>0.65516129032258075</v>
      </c>
      <c r="E36" s="15">
        <f>((E35-E32) / E35)</f>
        <v>0.68162790697674425</v>
      </c>
    </row>
    <row r="37" spans="1:5" x14ac:dyDescent="0.2">
      <c r="C37" s="10" t="s">
        <v>66</v>
      </c>
      <c r="D37" s="11">
        <f>D35-D32</f>
        <v>101.55000000000001</v>
      </c>
      <c r="E37" s="11">
        <f>E35-E32</f>
        <v>146.55000000000001</v>
      </c>
    </row>
    <row r="40" spans="1:5" x14ac:dyDescent="0.2">
      <c r="A40" s="4"/>
    </row>
  </sheetData>
  <hyperlinks>
    <hyperlink ref="B18" r:id="rId1" xr:uid="{67525F2A-830B-134F-92D5-0D8B406A7AA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0856-FE42-6445-AD5E-29A07B7F9C38}">
  <dimension ref="A1:B18"/>
  <sheetViews>
    <sheetView zoomScale="175" zoomScaleNormal="175" workbookViewId="0">
      <selection activeCell="B18" sqref="B18"/>
    </sheetView>
  </sheetViews>
  <sheetFormatPr baseColWidth="10" defaultRowHeight="16" x14ac:dyDescent="0.2"/>
  <cols>
    <col min="1" max="1" width="17.1640625" customWidth="1"/>
    <col min="2" max="2" width="13.5" customWidth="1"/>
  </cols>
  <sheetData>
    <row r="1" spans="1:2" x14ac:dyDescent="0.2">
      <c r="A1" t="s">
        <v>62</v>
      </c>
    </row>
    <row r="8" spans="1:2" x14ac:dyDescent="0.2">
      <c r="A8" t="s">
        <v>63</v>
      </c>
      <c r="B8" s="1">
        <v>150</v>
      </c>
    </row>
    <row r="9" spans="1:2" x14ac:dyDescent="0.2">
      <c r="A9" t="s">
        <v>64</v>
      </c>
      <c r="B9" s="1">
        <v>25</v>
      </c>
    </row>
    <row r="10" spans="1:2" x14ac:dyDescent="0.2">
      <c r="A10" t="s">
        <v>65</v>
      </c>
      <c r="B10" s="1">
        <v>27</v>
      </c>
    </row>
    <row r="11" spans="1:2" x14ac:dyDescent="0.2">
      <c r="A11" t="s">
        <v>66</v>
      </c>
      <c r="B11" s="1">
        <f>B8-B9-B10</f>
        <v>98</v>
      </c>
    </row>
    <row r="16" spans="1:2" x14ac:dyDescent="0.2">
      <c r="A16" t="s">
        <v>67</v>
      </c>
      <c r="B16">
        <v>15</v>
      </c>
    </row>
    <row r="17" spans="1:2" x14ac:dyDescent="0.2">
      <c r="A17" t="s">
        <v>68</v>
      </c>
      <c r="B17" s="1">
        <f>B11*B16*30</f>
        <v>44100</v>
      </c>
    </row>
    <row r="18" spans="1:2" x14ac:dyDescent="0.2">
      <c r="A18" t="s">
        <v>69</v>
      </c>
      <c r="B18" s="1">
        <f>B11*B16*365</f>
        <v>536550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D89E-9804-C74C-BFAA-C18A1E0B3818}">
  <dimension ref="A2:C54"/>
  <sheetViews>
    <sheetView zoomScale="160" zoomScaleNormal="160" workbookViewId="0">
      <selection activeCell="C37" sqref="C37"/>
    </sheetView>
  </sheetViews>
  <sheetFormatPr baseColWidth="10" defaultRowHeight="16" x14ac:dyDescent="0.2"/>
  <cols>
    <col min="1" max="1" width="36" customWidth="1"/>
  </cols>
  <sheetData>
    <row r="2" spans="1:1" x14ac:dyDescent="0.2">
      <c r="A2" s="4" t="s">
        <v>32</v>
      </c>
    </row>
    <row r="3" spans="1:1" x14ac:dyDescent="0.2">
      <c r="A3" t="s">
        <v>33</v>
      </c>
    </row>
    <row r="4" spans="1:1" x14ac:dyDescent="0.2">
      <c r="A4" t="s">
        <v>34</v>
      </c>
    </row>
    <row r="5" spans="1:1" x14ac:dyDescent="0.2">
      <c r="A5" t="s">
        <v>41</v>
      </c>
    </row>
    <row r="6" spans="1:1" x14ac:dyDescent="0.2">
      <c r="A6" t="s">
        <v>35</v>
      </c>
    </row>
    <row r="7" spans="1:1" x14ac:dyDescent="0.2">
      <c r="A7" t="s">
        <v>36</v>
      </c>
    </row>
    <row r="8" spans="1:1" x14ac:dyDescent="0.2">
      <c r="A8" t="s">
        <v>37</v>
      </c>
    </row>
    <row r="9" spans="1:1" x14ac:dyDescent="0.2">
      <c r="A9" t="s">
        <v>38</v>
      </c>
    </row>
    <row r="10" spans="1:1" x14ac:dyDescent="0.2">
      <c r="A10" t="s">
        <v>39</v>
      </c>
    </row>
    <row r="11" spans="1:1" x14ac:dyDescent="0.2">
      <c r="A11" t="s">
        <v>40</v>
      </c>
    </row>
    <row r="12" spans="1:1" x14ac:dyDescent="0.2">
      <c r="A12" t="s">
        <v>42</v>
      </c>
    </row>
    <row r="13" spans="1:1" x14ac:dyDescent="0.2">
      <c r="A13" t="s">
        <v>43</v>
      </c>
    </row>
    <row r="14" spans="1:1" x14ac:dyDescent="0.2">
      <c r="A14" t="s">
        <v>46</v>
      </c>
    </row>
    <row r="15" spans="1:1" x14ac:dyDescent="0.2">
      <c r="A15" t="s">
        <v>54</v>
      </c>
    </row>
    <row r="22" spans="1:1" x14ac:dyDescent="0.2">
      <c r="A22" s="4" t="s">
        <v>44</v>
      </c>
    </row>
    <row r="23" spans="1:1" x14ac:dyDescent="0.2">
      <c r="A23" t="s">
        <v>45</v>
      </c>
    </row>
    <row r="24" spans="1:1" x14ac:dyDescent="0.2">
      <c r="A24" t="s">
        <v>47</v>
      </c>
    </row>
    <row r="25" spans="1:1" x14ac:dyDescent="0.2">
      <c r="A25" t="s">
        <v>48</v>
      </c>
    </row>
    <row r="36" spans="1:3" x14ac:dyDescent="0.2">
      <c r="A36" s="4" t="s">
        <v>49</v>
      </c>
    </row>
    <row r="37" spans="1:3" x14ac:dyDescent="0.2">
      <c r="A37" t="s">
        <v>50</v>
      </c>
    </row>
    <row r="38" spans="1:3" x14ac:dyDescent="0.2">
      <c r="A38" t="s">
        <v>51</v>
      </c>
    </row>
    <row r="39" spans="1:3" x14ac:dyDescent="0.2">
      <c r="A39" t="s">
        <v>52</v>
      </c>
    </row>
    <row r="40" spans="1:3" x14ac:dyDescent="0.2">
      <c r="A40" t="s">
        <v>53</v>
      </c>
    </row>
    <row r="41" spans="1:3" x14ac:dyDescent="0.2">
      <c r="A41" t="s">
        <v>70</v>
      </c>
      <c r="C41" t="s">
        <v>71</v>
      </c>
    </row>
    <row r="48" spans="1:3" x14ac:dyDescent="0.2">
      <c r="A48" s="4" t="s">
        <v>55</v>
      </c>
    </row>
    <row r="49" spans="1:1" x14ac:dyDescent="0.2">
      <c r="A49" t="s">
        <v>56</v>
      </c>
    </row>
    <row r="50" spans="1:1" x14ac:dyDescent="0.2">
      <c r="A50" t="s">
        <v>57</v>
      </c>
    </row>
    <row r="51" spans="1:1" x14ac:dyDescent="0.2">
      <c r="A51" t="s">
        <v>58</v>
      </c>
    </row>
    <row r="52" spans="1:1" x14ac:dyDescent="0.2">
      <c r="A52" t="s">
        <v>60</v>
      </c>
    </row>
    <row r="53" spans="1:1" x14ac:dyDescent="0.2">
      <c r="A53" t="s">
        <v>59</v>
      </c>
    </row>
    <row r="54" spans="1:1" x14ac:dyDescent="0.2">
      <c r="A5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COGS</vt:lpstr>
      <vt:lpstr>DEV</vt:lpstr>
      <vt:lpstr>Sheet4</vt:lpstr>
      <vt:lpstr>SWOT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Beck</dc:creator>
  <cp:lastModifiedBy>Travis Beck</cp:lastModifiedBy>
  <dcterms:created xsi:type="dcterms:W3CDTF">2025-01-06T19:39:46Z</dcterms:created>
  <dcterms:modified xsi:type="dcterms:W3CDTF">2025-01-23T01:41:35Z</dcterms:modified>
</cp:coreProperties>
</file>